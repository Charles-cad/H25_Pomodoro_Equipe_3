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H25\Projet\GitHub\H25_Pomodoro_Equipe_3\Remise\"/>
    </mc:Choice>
  </mc:AlternateContent>
  <xr:revisionPtr revIDLastSave="0" documentId="13_ncr:1_{7B99B340-0AC1-4219-8E0E-850F95AF634E}" xr6:coauthVersionLast="47" xr6:coauthVersionMax="47" xr10:uidLastSave="{00000000-0000-0000-0000-000000000000}"/>
  <bookViews>
    <workbookView xWindow="22932" yWindow="-2280" windowWidth="27288" windowHeight="17544" xr2:uid="{62EDC57E-9147-4F8F-B6BD-4CBA2E14FB04}"/>
  </bookViews>
  <sheets>
    <sheet name="Pomodoro Hub" sheetId="2" r:id="rId1"/>
    <sheet name="Feuil1" sheetId="1" r:id="rId2"/>
  </sheets>
  <definedNames>
    <definedName name="DonnéesExternes_1" localSheetId="0" hidden="1">'Pomodoro Hub'!$A$1:$D$48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2" l="1"/>
  <c r="F49" i="2" s="1"/>
  <c r="F47" i="2" a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4A5C4-3627-453E-8B52-32A5991B2C9D}" keepAlive="1" name="Requête - Pomodoro Hub" description="Connexion à la requête « Pomodoro Hub » dans le classeur." type="5" refreshedVersion="8" background="1" saveData="1">
    <dbPr connection="Provider=Microsoft.Mashup.OleDb.1;Data Source=$Workbook$;Location=&quot;Pomodoro Hub&quot;;Extended Properties=&quot;&quot;" command="SELECT * FROM [Pomodoro Hub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<sst xmlns="http://schemas.openxmlformats.org/spreadsheetml/2006/main" count="187" uniqueCount="125">
  <si>
    <t>Reference</t>
  </si>
  <si>
    <t>Qty</t>
  </si>
  <si>
    <t>Value</t>
  </si>
  <si>
    <t>Footprint</t>
  </si>
  <si>
    <t>C201,C202,C203,C204,C205,C206,C207,C208,C210,C211,C212,C217</t>
  </si>
  <si>
    <t>0.1uF</t>
  </si>
  <si>
    <t>Capacitor_SMD:C_0603_1608Metric</t>
  </si>
  <si>
    <t>C209,C216</t>
  </si>
  <si>
    <t>4.7uF</t>
  </si>
  <si>
    <t>Capacitor_SMD:C_0805_2012Metric</t>
  </si>
  <si>
    <t>C213</t>
  </si>
  <si>
    <t>10uF</t>
  </si>
  <si>
    <t>C214,C215</t>
  </si>
  <si>
    <t>C218</t>
  </si>
  <si>
    <t>1uF</t>
  </si>
  <si>
    <t>C302,C304</t>
  </si>
  <si>
    <t>4,7µF</t>
  </si>
  <si>
    <t>Capacitor_SMD:C_0805_2012Metric_Pad1.18x1.45mm_HandSolder</t>
  </si>
  <si>
    <t>C401,C402</t>
  </si>
  <si>
    <t>10µF</t>
  </si>
  <si>
    <t>C403</t>
  </si>
  <si>
    <t>1µF</t>
  </si>
  <si>
    <t>C501,C502</t>
  </si>
  <si>
    <t>1n</t>
  </si>
  <si>
    <t>C503</t>
  </si>
  <si>
    <t>100n</t>
  </si>
  <si>
    <t>D301</t>
  </si>
  <si>
    <t>Green_power</t>
  </si>
  <si>
    <t>Diode_SMD:D_0805_2012Metric</t>
  </si>
  <si>
    <t>D401</t>
  </si>
  <si>
    <t>PORT1</t>
  </si>
  <si>
    <t>D402</t>
  </si>
  <si>
    <t>PORT2</t>
  </si>
  <si>
    <t>D403</t>
  </si>
  <si>
    <t>PORT3</t>
  </si>
  <si>
    <t>D404</t>
  </si>
  <si>
    <t>PORT4</t>
  </si>
  <si>
    <t>D405</t>
  </si>
  <si>
    <t>ACTIVE</t>
  </si>
  <si>
    <t>F301,F401</t>
  </si>
  <si>
    <t>SMD0805B110TF</t>
  </si>
  <si>
    <t>Fuse:Fuse_0805_2012Metric</t>
  </si>
  <si>
    <t>FB301,FB401</t>
  </si>
  <si>
    <t>600 @ 100MHz</t>
  </si>
  <si>
    <t>Resistor_SMD:R_0805_2012Metric_Pad1.20x1.40mm_HandSolder</t>
  </si>
  <si>
    <t>J201</t>
  </si>
  <si>
    <t>USB_C_PICO</t>
  </si>
  <si>
    <t>Connector_USB:USB_C_Receptacle_G-Switch_GT-USB-7010ASV</t>
  </si>
  <si>
    <t>J202</t>
  </si>
  <si>
    <t>DEBUG</t>
  </si>
  <si>
    <t>Connector_PinHeader_2.54mm:PinHeader_1x03_P2.54mm_Vertical</t>
  </si>
  <si>
    <t>J402,J404</t>
  </si>
  <si>
    <t>USB_C_Receptacle_USB2.0_14P</t>
  </si>
  <si>
    <t>J403,J405</t>
  </si>
  <si>
    <t>USB_A</t>
  </si>
  <si>
    <t>Connector_USB:USB_A_CONNFLY_DS1095-WNR0</t>
  </si>
  <si>
    <t>J501</t>
  </si>
  <si>
    <t>Conn_I2C_Écran</t>
  </si>
  <si>
    <t>Connector_PinSocket_2.54mm:PinSocket_1x04_P2.54mm_Vertical</t>
  </si>
  <si>
    <t>L201</t>
  </si>
  <si>
    <t>3.3uH</t>
  </si>
  <si>
    <t>Resistor_SMD:R_0805_2012Metric</t>
  </si>
  <si>
    <t>P1</t>
  </si>
  <si>
    <t>USB_C_Plug_USB2.0</t>
  </si>
  <si>
    <t>JT_USB_C:UP20-C-F-G-FL-1-P12-TR</t>
  </si>
  <si>
    <t>Q301,Q401</t>
  </si>
  <si>
    <t>AO3401A</t>
  </si>
  <si>
    <t>Package_TO_SOT_SMD:SOT-23</t>
  </si>
  <si>
    <t>R201,R202,R401</t>
  </si>
  <si>
    <t>5.1k</t>
  </si>
  <si>
    <t>Resistor_SMD:R_0603_1608Metric_Pad0.98x0.95mm_HandSolder</t>
  </si>
  <si>
    <t>R203,R501,R502,R503</t>
  </si>
  <si>
    <t>10k</t>
  </si>
  <si>
    <t>Resistor_SMD:R_0603_1608Metric</t>
  </si>
  <si>
    <t>R204,R209</t>
  </si>
  <si>
    <t>1k</t>
  </si>
  <si>
    <t>R205,R206,R207</t>
  </si>
  <si>
    <t>27</t>
  </si>
  <si>
    <t>R208</t>
  </si>
  <si>
    <t>NP</t>
  </si>
  <si>
    <t>R303</t>
  </si>
  <si>
    <t>330</t>
  </si>
  <si>
    <t>R403,R404,R408,R409</t>
  </si>
  <si>
    <t>R405,R406</t>
  </si>
  <si>
    <t>220</t>
  </si>
  <si>
    <t>R407</t>
  </si>
  <si>
    <t>470</t>
  </si>
  <si>
    <t>SW201</t>
  </si>
  <si>
    <t>SW_BOOTSEL</t>
  </si>
  <si>
    <t>Button_Switch_SMD:SW_SPST_B3U-1000P</t>
  </si>
  <si>
    <t>SW202</t>
  </si>
  <si>
    <t>SW_RESET</t>
  </si>
  <si>
    <t>SW501</t>
  </si>
  <si>
    <t>RotaryEncoder_Switch</t>
  </si>
  <si>
    <t>Rotary_Encoder:RotaryEncoder_Bourns_Horizontal_PEC12R-2x17F-Sxxxx</t>
  </si>
  <si>
    <t>U202</t>
  </si>
  <si>
    <t>RP2350B-QFN80</t>
  </si>
  <si>
    <t>Package_DFN_QFN:QFN-80-1EP_10x10mm_P0.4mm_EP3.4x3.4mm_ThermalVias</t>
  </si>
  <si>
    <t>U203</t>
  </si>
  <si>
    <t>W25Q128JVPIQ</t>
  </si>
  <si>
    <t>Package_SON:WSON-8-1EP_6x5mm_P1.27mm_EP3.4x4mm</t>
  </si>
  <si>
    <t>U301</t>
  </si>
  <si>
    <t>AP7361C-33E</t>
  </si>
  <si>
    <t>Package_TO_SOT_SMD:SOT-223-3_TabPin2</t>
  </si>
  <si>
    <t>U401</t>
  </si>
  <si>
    <t>SRV05-4</t>
  </si>
  <si>
    <t>Package_TO_SOT_SMD:SOT-23-6</t>
  </si>
  <si>
    <t>U402</t>
  </si>
  <si>
    <t>Package_DFN_QFN:HVQFN-24-1EP_4x4mm_P0.5mm_EP2.6x2.6mm</t>
  </si>
  <si>
    <t>Y201</t>
  </si>
  <si>
    <t>CM4012M00012001</t>
  </si>
  <si>
    <t>Crystal:Crystal_SMD_2520-4Pin_2.5x2.0mm</t>
  </si>
  <si>
    <t>Y401</t>
  </si>
  <si>
    <t>12MHz</t>
  </si>
  <si>
    <t>Crystal:Crystal_SMD_3225-4Pin_3.2x2.5mm</t>
  </si>
  <si>
    <t>Distributeur</t>
  </si>
  <si>
    <t>Prix</t>
  </si>
  <si>
    <t>Digikey</t>
  </si>
  <si>
    <t>10pF</t>
  </si>
  <si>
    <t>CH334F</t>
  </si>
  <si>
    <t>lcsc</t>
  </si>
  <si>
    <t>Aliexpress</t>
  </si>
  <si>
    <t>-</t>
  </si>
  <si>
    <t>Total: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</si>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</sst>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4BFB2FE-3A47-459E-932D-76A941BBED37}" autoFormatId="16" applyNumberFormats="0" applyBorderFormats="0" applyFontFormats="0" applyPatternFormats="0" applyAlignmentFormats="0" applyWidthHeightFormats="0">
  <queryTableRefresh nextId="11" unboundColumnsRight="2">
    <queryTableFields count="6">
      <queryTableField id="1" name="Reference" tableColumnId="1"/>
      <queryTableField id="2" name="Qty" tableColumnId="2"/>
      <queryTableField id="3" name="Value" tableColumnId="3"/>
      <queryTableField id="7" name="Footprint" tableColumnId="7"/>
      <queryTableField id="9" dataBound="0" tableColumnId="9"/>
      <queryTableField id="10" dataBound="0" tableColumnId="10"/>
    </queryTableFields>
    <queryTableDeletedFields count="4">
      <deletedField name="Exclude from Board"/>
      <deletedField name="DNP"/>
      <deletedField name="Datasheet"/>
      <deletedField name="Exclude from BO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68AF7-182A-452B-97A3-77A1DB9850C6}" name="Pomodoro_Hub" displayName="Pomodoro_Hub" ref="A1:F49" tableType="queryTable" totalsRowCount="1">
  <autoFilter ref="A1:F48" xr:uid="{DA768AF7-182A-452B-97A3-77A1DB9850C6}"/>
  <tableColumns count="6">
    <tableColumn id="1" xr3:uid="{03FD89F7-4D95-4921-9323-686D9FC50989}" uniqueName="1" name="Reference" queryTableFieldId="1" dataDxfId="9" totalsRowDxfId="4"/>
    <tableColumn id="2" xr3:uid="{B974274A-23D9-4647-88A2-70D4ACBCA7DC}" uniqueName="2" name="Qty" queryTableFieldId="2"/>
    <tableColumn id="3" xr3:uid="{537723B4-0F25-4554-8ABA-FF8B973B3EFE}" uniqueName="3" name="Value" queryTableFieldId="3" dataDxfId="8" totalsRowDxfId="3"/>
    <tableColumn id="7" xr3:uid="{3B835E3C-EBE8-4D21-AAEF-D5C8F602F92F}" uniqueName="7" name="Footprint" queryTableFieldId="7" dataDxfId="7" totalsRowDxfId="2"/>
    <tableColumn id="9" xr3:uid="{2F942643-7602-4CFA-94F3-F5E029AEC5F9}" uniqueName="9" name="Distributeur" queryTableFieldId="9" dataDxfId="6" totalsRowDxfId="1"/>
    <tableColumn id="10" xr3:uid="{06109B07-B81A-4DD6-84B1-6DF1F712349D}" uniqueName="10" name="Prix" totalsRowFunction="custom" queryTableFieldId="10" dataDxfId="5" totalsRowDxfId="0">
      <totalsRowFormula>SUM(F47:F48)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E3A0-44BB-4953-BC08-CB588AAD582E}">
  <dimension ref="A1:F49"/>
  <sheetViews>
    <sheetView tabSelected="1" zoomScale="85" zoomScaleNormal="85" workbookViewId="0">
      <selection sqref="A1:F47"/>
    </sheetView>
  </sheetViews>
  <sheetFormatPr baseColWidth="10" defaultRowHeight="15" x14ac:dyDescent="0.25"/>
  <cols>
    <col min="1" max="1" width="60.42578125" bestFit="1" customWidth="1"/>
    <col min="2" max="2" width="6.42578125" bestFit="1" customWidth="1"/>
    <col min="3" max="3" width="28.140625" bestFit="1" customWidth="1"/>
    <col min="4" max="4" width="30.140625" customWidth="1"/>
    <col min="5" max="5" width="17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115</v>
      </c>
      <c r="F1" t="s">
        <v>116</v>
      </c>
    </row>
    <row r="2" spans="1:6" x14ac:dyDescent="0.25">
      <c r="A2" s="1" t="s">
        <v>4</v>
      </c>
      <c r="B2">
        <v>12</v>
      </c>
      <c r="C2" s="1" t="s">
        <v>5</v>
      </c>
      <c r="D2" s="1" t="s">
        <v>6</v>
      </c>
      <c r="E2" s="1" t="s">
        <v>120</v>
      </c>
      <c r="F2" s="1">
        <v>1.6000000000000001E-3</v>
      </c>
    </row>
    <row r="3" spans="1:6" x14ac:dyDescent="0.25">
      <c r="A3" s="1" t="s">
        <v>7</v>
      </c>
      <c r="B3">
        <v>2</v>
      </c>
      <c r="C3" s="1" t="s">
        <v>8</v>
      </c>
      <c r="D3" s="1" t="s">
        <v>9</v>
      </c>
      <c r="E3" s="1" t="s">
        <v>120</v>
      </c>
      <c r="F3" s="1">
        <v>4.1999999999999997E-3</v>
      </c>
    </row>
    <row r="4" spans="1:6" x14ac:dyDescent="0.25">
      <c r="A4" s="1" t="s">
        <v>10</v>
      </c>
      <c r="B4">
        <v>1</v>
      </c>
      <c r="C4" s="1" t="s">
        <v>11</v>
      </c>
      <c r="D4" s="1" t="s">
        <v>9</v>
      </c>
      <c r="E4" s="1" t="s">
        <v>120</v>
      </c>
      <c r="F4" s="1">
        <v>6.1999999999999998E-3</v>
      </c>
    </row>
    <row r="5" spans="1:6" x14ac:dyDescent="0.25">
      <c r="A5" s="1" t="s">
        <v>12</v>
      </c>
      <c r="B5">
        <v>2</v>
      </c>
      <c r="C5" s="1" t="s">
        <v>118</v>
      </c>
      <c r="D5" s="1" t="s">
        <v>6</v>
      </c>
      <c r="E5" s="1" t="s">
        <v>117</v>
      </c>
      <c r="F5" s="1">
        <v>3.5999999999999997E-2</v>
      </c>
    </row>
    <row r="6" spans="1:6" x14ac:dyDescent="0.25">
      <c r="A6" s="1" t="s">
        <v>13</v>
      </c>
      <c r="B6">
        <v>1</v>
      </c>
      <c r="C6" s="1" t="s">
        <v>14</v>
      </c>
      <c r="D6" s="1" t="s">
        <v>6</v>
      </c>
      <c r="E6" s="1" t="s">
        <v>120</v>
      </c>
      <c r="F6" s="1">
        <v>6.6E-3</v>
      </c>
    </row>
    <row r="7" spans="1:6" x14ac:dyDescent="0.25">
      <c r="A7" s="1" t="s">
        <v>15</v>
      </c>
      <c r="B7">
        <v>2</v>
      </c>
      <c r="C7" s="1" t="s">
        <v>16</v>
      </c>
      <c r="D7" s="1" t="s">
        <v>17</v>
      </c>
      <c r="E7" s="1" t="s">
        <v>120</v>
      </c>
      <c r="F7" s="1">
        <v>4.1999999999999997E-3</v>
      </c>
    </row>
    <row r="8" spans="1:6" x14ac:dyDescent="0.25">
      <c r="A8" s="1" t="s">
        <v>18</v>
      </c>
      <c r="B8">
        <v>2</v>
      </c>
      <c r="C8" s="1" t="s">
        <v>19</v>
      </c>
      <c r="D8" s="1" t="s">
        <v>9</v>
      </c>
      <c r="E8" s="1" t="s">
        <v>120</v>
      </c>
      <c r="F8" s="1">
        <v>6.1999999999999998E-3</v>
      </c>
    </row>
    <row r="9" spans="1:6" x14ac:dyDescent="0.25">
      <c r="A9" s="1" t="s">
        <v>20</v>
      </c>
      <c r="B9">
        <v>1</v>
      </c>
      <c r="C9" s="1" t="s">
        <v>21</v>
      </c>
      <c r="D9" s="1" t="s">
        <v>6</v>
      </c>
      <c r="E9" s="1" t="s">
        <v>120</v>
      </c>
      <c r="F9" s="1">
        <v>6.6E-3</v>
      </c>
    </row>
    <row r="10" spans="1:6" x14ac:dyDescent="0.25">
      <c r="A10" s="1" t="s">
        <v>22</v>
      </c>
      <c r="B10">
        <v>2</v>
      </c>
      <c r="C10" s="1" t="s">
        <v>23</v>
      </c>
      <c r="D10" s="1" t="s">
        <v>6</v>
      </c>
      <c r="E10" s="1" t="s">
        <v>120</v>
      </c>
      <c r="F10" s="1">
        <v>1.6999999999999999E-3</v>
      </c>
    </row>
    <row r="11" spans="1:6" x14ac:dyDescent="0.25">
      <c r="A11" s="1" t="s">
        <v>24</v>
      </c>
      <c r="B11">
        <v>1</v>
      </c>
      <c r="C11" s="1" t="s">
        <v>25</v>
      </c>
      <c r="D11" s="1" t="s">
        <v>6</v>
      </c>
      <c r="E11" s="1" t="s">
        <v>120</v>
      </c>
      <c r="F11" s="1">
        <v>1.6000000000000001E-3</v>
      </c>
    </row>
    <row r="12" spans="1:6" x14ac:dyDescent="0.25">
      <c r="A12" s="1" t="s">
        <v>26</v>
      </c>
      <c r="B12">
        <v>1</v>
      </c>
      <c r="C12" s="1" t="s">
        <v>27</v>
      </c>
      <c r="D12" s="1" t="s">
        <v>28</v>
      </c>
      <c r="E12" s="1" t="s">
        <v>120</v>
      </c>
      <c r="F12" s="1">
        <v>7.2999999999999995E-2</v>
      </c>
    </row>
    <row r="13" spans="1:6" x14ac:dyDescent="0.25">
      <c r="A13" s="1" t="s">
        <v>29</v>
      </c>
      <c r="B13">
        <v>1</v>
      </c>
      <c r="C13" s="1" t="s">
        <v>30</v>
      </c>
      <c r="D13" s="1" t="s">
        <v>28</v>
      </c>
      <c r="E13" s="1" t="s">
        <v>120</v>
      </c>
      <c r="F13" s="1">
        <v>7.2999999999999995E-2</v>
      </c>
    </row>
    <row r="14" spans="1:6" x14ac:dyDescent="0.25">
      <c r="A14" s="1" t="s">
        <v>31</v>
      </c>
      <c r="B14">
        <v>1</v>
      </c>
      <c r="C14" s="1" t="s">
        <v>32</v>
      </c>
      <c r="D14" s="1" t="s">
        <v>28</v>
      </c>
      <c r="E14" s="1" t="s">
        <v>120</v>
      </c>
      <c r="F14" s="1">
        <v>7.2999999999999995E-2</v>
      </c>
    </row>
    <row r="15" spans="1:6" x14ac:dyDescent="0.25">
      <c r="A15" s="1" t="s">
        <v>33</v>
      </c>
      <c r="B15">
        <v>1</v>
      </c>
      <c r="C15" s="1" t="s">
        <v>34</v>
      </c>
      <c r="D15" s="1" t="s">
        <v>28</v>
      </c>
      <c r="E15" s="1" t="s">
        <v>120</v>
      </c>
      <c r="F15" s="1">
        <v>7.2999999999999995E-2</v>
      </c>
    </row>
    <row r="16" spans="1:6" x14ac:dyDescent="0.25">
      <c r="A16" s="1" t="s">
        <v>35</v>
      </c>
      <c r="B16">
        <v>1</v>
      </c>
      <c r="C16" s="1" t="s">
        <v>36</v>
      </c>
      <c r="D16" s="1" t="s">
        <v>28</v>
      </c>
      <c r="E16" s="1" t="s">
        <v>120</v>
      </c>
      <c r="F16" s="1">
        <v>7.2999999999999995E-2</v>
      </c>
    </row>
    <row r="17" spans="1:6" x14ac:dyDescent="0.25">
      <c r="A17" s="1" t="s">
        <v>37</v>
      </c>
      <c r="B17">
        <v>1</v>
      </c>
      <c r="C17" s="1" t="s">
        <v>38</v>
      </c>
      <c r="D17" s="1" t="s">
        <v>28</v>
      </c>
      <c r="E17" s="1" t="s">
        <v>117</v>
      </c>
      <c r="F17" s="1">
        <v>7.2999999999999995E-2</v>
      </c>
    </row>
    <row r="18" spans="1:6" x14ac:dyDescent="0.25">
      <c r="A18" s="1" t="s">
        <v>39</v>
      </c>
      <c r="B18">
        <v>2</v>
      </c>
      <c r="C18" s="1" t="s">
        <v>40</v>
      </c>
      <c r="D18" s="1" t="s">
        <v>41</v>
      </c>
      <c r="E18" s="1" t="s">
        <v>117</v>
      </c>
      <c r="F18" s="1">
        <v>0.19</v>
      </c>
    </row>
    <row r="19" spans="1:6" x14ac:dyDescent="0.25">
      <c r="A19" s="1" t="s">
        <v>42</v>
      </c>
      <c r="B19">
        <v>2</v>
      </c>
      <c r="C19" s="1" t="s">
        <v>43</v>
      </c>
      <c r="D19" s="1" t="s">
        <v>44</v>
      </c>
      <c r="E19" s="1" t="s">
        <v>117</v>
      </c>
      <c r="F19" s="1">
        <v>0.6</v>
      </c>
    </row>
    <row r="20" spans="1:6" x14ac:dyDescent="0.25">
      <c r="A20" s="1" t="s">
        <v>45</v>
      </c>
      <c r="B20">
        <v>1</v>
      </c>
      <c r="C20" s="1" t="s">
        <v>46</v>
      </c>
      <c r="D20" s="1" t="s">
        <v>47</v>
      </c>
      <c r="E20" s="1" t="s">
        <v>120</v>
      </c>
      <c r="F20" s="1">
        <v>6.1600000000000002E-2</v>
      </c>
    </row>
    <row r="21" spans="1:6" x14ac:dyDescent="0.25">
      <c r="A21" s="1" t="s">
        <v>48</v>
      </c>
      <c r="B21">
        <v>1</v>
      </c>
      <c r="C21" s="1" t="s">
        <v>49</v>
      </c>
      <c r="D21" s="1" t="s">
        <v>50</v>
      </c>
      <c r="E21" s="1" t="s">
        <v>122</v>
      </c>
      <c r="F21" s="1">
        <v>0</v>
      </c>
    </row>
    <row r="22" spans="1:6" x14ac:dyDescent="0.25">
      <c r="A22" s="1" t="s">
        <v>51</v>
      </c>
      <c r="B22">
        <v>2</v>
      </c>
      <c r="C22" s="1" t="s">
        <v>52</v>
      </c>
      <c r="D22" s="1" t="s">
        <v>47</v>
      </c>
      <c r="E22" s="1" t="s">
        <v>120</v>
      </c>
      <c r="F22" s="1">
        <v>6.1600000000000002E-2</v>
      </c>
    </row>
    <row r="23" spans="1:6" x14ac:dyDescent="0.25">
      <c r="A23" s="1" t="s">
        <v>53</v>
      </c>
      <c r="B23">
        <v>2</v>
      </c>
      <c r="C23" s="1" t="s">
        <v>54</v>
      </c>
      <c r="D23" s="1" t="s">
        <v>55</v>
      </c>
      <c r="E23" s="1" t="s">
        <v>124</v>
      </c>
      <c r="F23" s="1">
        <v>3.4700000000000002E-2</v>
      </c>
    </row>
    <row r="24" spans="1:6" x14ac:dyDescent="0.25">
      <c r="A24" s="1" t="s">
        <v>56</v>
      </c>
      <c r="B24">
        <v>1</v>
      </c>
      <c r="C24" s="1" t="s">
        <v>57</v>
      </c>
      <c r="D24" s="1" t="s">
        <v>58</v>
      </c>
      <c r="E24" s="1" t="s">
        <v>122</v>
      </c>
      <c r="F24" s="1">
        <v>5.33</v>
      </c>
    </row>
    <row r="25" spans="1:6" x14ac:dyDescent="0.25">
      <c r="A25" s="1" t="s">
        <v>59</v>
      </c>
      <c r="B25">
        <v>1</v>
      </c>
      <c r="C25" s="1" t="s">
        <v>60</v>
      </c>
      <c r="D25" s="1" t="s">
        <v>61</v>
      </c>
      <c r="E25" s="1" t="s">
        <v>117</v>
      </c>
      <c r="F25" s="1">
        <v>0.15</v>
      </c>
    </row>
    <row r="26" spans="1:6" x14ac:dyDescent="0.25">
      <c r="A26" s="1" t="s">
        <v>62</v>
      </c>
      <c r="B26">
        <v>1</v>
      </c>
      <c r="C26" s="1" t="s">
        <v>63</v>
      </c>
      <c r="D26" s="1" t="s">
        <v>64</v>
      </c>
      <c r="E26" s="1" t="s">
        <v>120</v>
      </c>
      <c r="F26" s="1">
        <v>6.1600000000000002E-2</v>
      </c>
    </row>
    <row r="27" spans="1:6" x14ac:dyDescent="0.25">
      <c r="A27" s="1" t="s">
        <v>65</v>
      </c>
      <c r="B27">
        <v>2</v>
      </c>
      <c r="C27" s="1" t="s">
        <v>66</v>
      </c>
      <c r="D27" s="1" t="s">
        <v>67</v>
      </c>
      <c r="E27" s="1" t="s">
        <v>117</v>
      </c>
      <c r="F27" s="1">
        <v>0.7</v>
      </c>
    </row>
    <row r="28" spans="1:6" x14ac:dyDescent="0.25">
      <c r="A28" s="1" t="s">
        <v>68</v>
      </c>
      <c r="B28">
        <v>3</v>
      </c>
      <c r="C28" s="1" t="s">
        <v>69</v>
      </c>
      <c r="D28" s="1" t="s">
        <v>70</v>
      </c>
      <c r="E28" s="1" t="s">
        <v>117</v>
      </c>
      <c r="F28" s="1">
        <v>1.4999999999999999E-2</v>
      </c>
    </row>
    <row r="29" spans="1:6" x14ac:dyDescent="0.25">
      <c r="A29" s="1" t="s">
        <v>71</v>
      </c>
      <c r="B29">
        <v>4</v>
      </c>
      <c r="C29" s="1" t="s">
        <v>72</v>
      </c>
      <c r="D29" s="1" t="s">
        <v>73</v>
      </c>
      <c r="E29" s="1" t="s">
        <v>120</v>
      </c>
      <c r="F29" s="1">
        <v>8.0000000000000004E-4</v>
      </c>
    </row>
    <row r="30" spans="1:6" x14ac:dyDescent="0.25">
      <c r="A30" s="1" t="s">
        <v>74</v>
      </c>
      <c r="B30">
        <v>2</v>
      </c>
      <c r="C30" s="1" t="s">
        <v>75</v>
      </c>
      <c r="D30" s="1" t="s">
        <v>73</v>
      </c>
      <c r="E30" s="1" t="s">
        <v>120</v>
      </c>
      <c r="F30" s="1">
        <v>1E-3</v>
      </c>
    </row>
    <row r="31" spans="1:6" x14ac:dyDescent="0.25">
      <c r="A31" s="1" t="s">
        <v>76</v>
      </c>
      <c r="B31">
        <v>3</v>
      </c>
      <c r="C31" s="1" t="s">
        <v>77</v>
      </c>
      <c r="D31" s="1" t="s">
        <v>73</v>
      </c>
      <c r="E31" s="1" t="s">
        <v>117</v>
      </c>
      <c r="F31" s="1">
        <v>1.2999999999999999E-2</v>
      </c>
    </row>
    <row r="32" spans="1:6" x14ac:dyDescent="0.25">
      <c r="A32" s="1" t="s">
        <v>78</v>
      </c>
      <c r="B32">
        <v>1</v>
      </c>
      <c r="C32" s="1" t="s">
        <v>79</v>
      </c>
      <c r="D32" s="1" t="s">
        <v>73</v>
      </c>
      <c r="E32" s="1" t="s">
        <v>122</v>
      </c>
      <c r="F32" s="1">
        <v>0</v>
      </c>
    </row>
    <row r="33" spans="1:6" x14ac:dyDescent="0.25">
      <c r="A33" s="1" t="s">
        <v>80</v>
      </c>
      <c r="B33">
        <v>1</v>
      </c>
      <c r="C33" s="1" t="s">
        <v>81</v>
      </c>
      <c r="D33" s="1" t="s">
        <v>70</v>
      </c>
      <c r="E33" s="1" t="s">
        <v>120</v>
      </c>
      <c r="F33" s="1">
        <v>8.0000000000000004E-4</v>
      </c>
    </row>
    <row r="34" spans="1:6" x14ac:dyDescent="0.25">
      <c r="A34" s="1" t="s">
        <v>82</v>
      </c>
      <c r="B34">
        <v>4</v>
      </c>
      <c r="C34" s="1" t="s">
        <v>69</v>
      </c>
      <c r="D34" s="1" t="s">
        <v>73</v>
      </c>
      <c r="E34" s="1" t="s">
        <v>117</v>
      </c>
      <c r="F34" s="1">
        <v>1.4999999999999999E-2</v>
      </c>
    </row>
    <row r="35" spans="1:6" x14ac:dyDescent="0.25">
      <c r="A35" s="1" t="s">
        <v>83</v>
      </c>
      <c r="B35">
        <v>2</v>
      </c>
      <c r="C35" s="1" t="s">
        <v>84</v>
      </c>
      <c r="D35" s="1" t="s">
        <v>73</v>
      </c>
      <c r="E35" s="1" t="s">
        <v>120</v>
      </c>
      <c r="F35" s="1">
        <v>8.9999999999999998E-4</v>
      </c>
    </row>
    <row r="36" spans="1:6" x14ac:dyDescent="0.25">
      <c r="A36" s="1" t="s">
        <v>85</v>
      </c>
      <c r="B36">
        <v>1</v>
      </c>
      <c r="C36" s="1" t="s">
        <v>86</v>
      </c>
      <c r="D36" s="1" t="s">
        <v>73</v>
      </c>
      <c r="E36" s="1" t="s">
        <v>120</v>
      </c>
      <c r="F36" s="1">
        <v>6.9999999999999999E-4</v>
      </c>
    </row>
    <row r="37" spans="1:6" x14ac:dyDescent="0.25">
      <c r="A37" s="1" t="s">
        <v>87</v>
      </c>
      <c r="B37">
        <v>1</v>
      </c>
      <c r="C37" s="1" t="s">
        <v>88</v>
      </c>
      <c r="D37" s="1" t="s">
        <v>89</v>
      </c>
      <c r="E37" s="1" t="s">
        <v>120</v>
      </c>
      <c r="F37" s="1">
        <v>7.2900000000000006E-2</v>
      </c>
    </row>
    <row r="38" spans="1:6" x14ac:dyDescent="0.25">
      <c r="A38" s="1" t="s">
        <v>90</v>
      </c>
      <c r="B38">
        <v>1</v>
      </c>
      <c r="C38" s="1" t="s">
        <v>91</v>
      </c>
      <c r="D38" s="1" t="s">
        <v>89</v>
      </c>
      <c r="E38" s="1" t="s">
        <v>120</v>
      </c>
      <c r="F38" s="1">
        <v>7.2900000000000006E-2</v>
      </c>
    </row>
    <row r="39" spans="1:6" x14ac:dyDescent="0.25">
      <c r="A39" s="1" t="s">
        <v>92</v>
      </c>
      <c r="B39">
        <v>1</v>
      </c>
      <c r="C39" s="1" t="s">
        <v>93</v>
      </c>
      <c r="D39" s="1" t="s">
        <v>94</v>
      </c>
      <c r="E39" s="1" t="s">
        <v>117</v>
      </c>
      <c r="F39" s="1">
        <v>2.66</v>
      </c>
    </row>
    <row r="40" spans="1:6" x14ac:dyDescent="0.25">
      <c r="A40" s="1" t="s">
        <v>95</v>
      </c>
      <c r="B40">
        <v>1</v>
      </c>
      <c r="C40" s="1" t="s">
        <v>96</v>
      </c>
      <c r="D40" s="1" t="s">
        <v>97</v>
      </c>
      <c r="E40" s="1" t="s">
        <v>121</v>
      </c>
      <c r="F40" s="1">
        <v>3.76</v>
      </c>
    </row>
    <row r="41" spans="1:6" x14ac:dyDescent="0.25">
      <c r="A41" s="1" t="s">
        <v>98</v>
      </c>
      <c r="B41">
        <v>1</v>
      </c>
      <c r="C41" s="1" t="s">
        <v>99</v>
      </c>
      <c r="D41" s="1" t="s">
        <v>100</v>
      </c>
      <c r="E41" s="1" t="s">
        <v>117</v>
      </c>
      <c r="F41" s="1">
        <v>1.92</v>
      </c>
    </row>
    <row r="42" spans="1:6" x14ac:dyDescent="0.25">
      <c r="A42" s="1" t="s">
        <v>101</v>
      </c>
      <c r="B42">
        <v>1</v>
      </c>
      <c r="C42" s="1" t="s">
        <v>102</v>
      </c>
      <c r="D42" s="1" t="s">
        <v>103</v>
      </c>
      <c r="E42" s="1" t="s">
        <v>117</v>
      </c>
      <c r="F42" s="1">
        <v>1.56</v>
      </c>
    </row>
    <row r="43" spans="1:6" x14ac:dyDescent="0.25">
      <c r="A43" s="1" t="s">
        <v>104</v>
      </c>
      <c r="B43">
        <v>1</v>
      </c>
      <c r="C43" s="1" t="s">
        <v>105</v>
      </c>
      <c r="D43" s="1" t="s">
        <v>106</v>
      </c>
      <c r="E43" s="1" t="s">
        <v>117</v>
      </c>
      <c r="F43" s="1">
        <v>0.108</v>
      </c>
    </row>
    <row r="44" spans="1:6" x14ac:dyDescent="0.25">
      <c r="A44" s="1" t="s">
        <v>107</v>
      </c>
      <c r="B44">
        <v>1</v>
      </c>
      <c r="C44" s="1" t="s">
        <v>119</v>
      </c>
      <c r="D44" s="1" t="s">
        <v>108</v>
      </c>
      <c r="E44" s="1" t="s">
        <v>120</v>
      </c>
      <c r="F44" s="1">
        <v>0.55000000000000004</v>
      </c>
    </row>
    <row r="45" spans="1:6" x14ac:dyDescent="0.25">
      <c r="A45" s="1" t="s">
        <v>109</v>
      </c>
      <c r="B45">
        <v>1</v>
      </c>
      <c r="C45" s="1" t="s">
        <v>110</v>
      </c>
      <c r="D45" s="1" t="s">
        <v>111</v>
      </c>
      <c r="E45" s="1" t="s">
        <v>117</v>
      </c>
      <c r="F45" s="1">
        <v>0.34</v>
      </c>
    </row>
    <row r="46" spans="1:6" x14ac:dyDescent="0.25">
      <c r="A46" s="1" t="s">
        <v>112</v>
      </c>
      <c r="B46">
        <v>1</v>
      </c>
      <c r="C46" s="1" t="s">
        <v>113</v>
      </c>
      <c r="D46" s="1" t="s">
        <v>114</v>
      </c>
      <c r="E46" s="1" t="s">
        <v>117</v>
      </c>
      <c r="F46" s="1">
        <v>0.28999999999999998</v>
      </c>
    </row>
    <row r="47" spans="1:6" x14ac:dyDescent="0.25">
      <c r="A47" s="1"/>
      <c r="C47" s="1"/>
      <c r="D47" s="1"/>
      <c r="E47" s="1" t="s">
        <v>123</v>
      </c>
      <c r="F47" s="1" cm="1">
        <f t="array" ref="F47">SUM(B2:B46*F2:F46)</f>
        <v>20.844900000000003</v>
      </c>
    </row>
    <row r="48" spans="1:6" x14ac:dyDescent="0.25">
      <c r="A48" s="1"/>
      <c r="C48" s="1"/>
      <c r="D48" s="1"/>
      <c r="E48" s="1"/>
      <c r="F48" s="1">
        <f>8-4</f>
        <v>4</v>
      </c>
    </row>
    <row r="49" spans="1:6" x14ac:dyDescent="0.25">
      <c r="A49" s="1"/>
      <c r="C49" s="1"/>
      <c r="D49" s="1"/>
      <c r="E49" s="1"/>
      <c r="F49" s="1">
        <f>SUM(F47:F48)</f>
        <v>24.844900000000003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9943-1E6A-4A68-AACB-6549E08B4FC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91BA7-4AD6-4535-8A58-F106A207DB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Pomodoro Hub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Turcotte</dc:creator>
  <cp:lastModifiedBy>Jacob Turcotte</cp:lastModifiedBy>
  <dcterms:created xsi:type="dcterms:W3CDTF">2025-04-21T03:34:31Z</dcterms:created>
  <dcterms:modified xsi:type="dcterms:W3CDTF">2025-04-21T04:07:14Z</dcterms:modified>
</cp:coreProperties>
</file>